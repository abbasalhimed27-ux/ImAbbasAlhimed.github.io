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Log" sheetId="1" state="visible" r:id="rId3"/>
    <sheet name="Week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<sst xmlns="http://schemas.openxmlformats.org/spreadsheetml/2006/main" count="274" uniqueCount="87">
  <si>
    <t xml:space="preserve">Abbas Alhimed  ·  Running Training Log</t>
  </si>
  <si>
    <t xml:space="preserve">8-week training block  ·  February 1 – March 31, 2026  ·  Built in Excel with live formulas</t>
  </si>
  <si>
    <t xml:space="preserve">Date</t>
  </si>
  <si>
    <t xml:space="preserve">Day</t>
  </si>
  <si>
    <t xml:space="preserve">Week #</t>
  </si>
  <si>
    <t xml:space="preserve">Run Type</t>
  </si>
  <si>
    <t xml:space="preserve">Distance (mi)</t>
  </si>
  <si>
    <t xml:space="preserve">Pace (min/mi)</t>
  </si>
  <si>
    <t xml:space="preserve">Duration (min)</t>
  </si>
  <si>
    <t xml:space="preserve">HR (bpm)</t>
  </si>
  <si>
    <t xml:space="preserve">Calories</t>
  </si>
  <si>
    <t xml:space="preserve">Weather</t>
  </si>
  <si>
    <t xml:space="preserve">Notes</t>
  </si>
  <si>
    <t xml:space="preserve">Sun</t>
  </si>
  <si>
    <t xml:space="preserve">Easy Run</t>
  </si>
  <si>
    <t xml:space="preserve">Clear 44F</t>
  </si>
  <si>
    <t xml:space="preserve">Comfortable effort</t>
  </si>
  <si>
    <t xml:space="preserve">Mon</t>
  </si>
  <si>
    <t xml:space="preserve">Rest</t>
  </si>
  <si>
    <t xml:space="preserve">—</t>
  </si>
  <si>
    <t xml:space="preserve">Rest day</t>
  </si>
  <si>
    <t xml:space="preserve">Tue</t>
  </si>
  <si>
    <t xml:space="preserve">Overcast 46F</t>
  </si>
  <si>
    <t xml:space="preserve">Felt smooth</t>
  </si>
  <si>
    <t xml:space="preserve">Wed</t>
  </si>
  <si>
    <t xml:space="preserve">Tempo</t>
  </si>
  <si>
    <t xml:space="preserve">Sunny 55F</t>
  </si>
  <si>
    <t xml:space="preserve">Lungs on fire</t>
  </si>
  <si>
    <t xml:space="preserve">Thu</t>
  </si>
  <si>
    <t xml:space="preserve">Easy conversational</t>
  </si>
  <si>
    <t xml:space="preserve">Fri</t>
  </si>
  <si>
    <t xml:space="preserve">Recovery</t>
  </si>
  <si>
    <t xml:space="preserve">Light Rain 52F</t>
  </si>
  <si>
    <t xml:space="preserve">Easy flush</t>
  </si>
  <si>
    <t xml:space="preserve">Sat</t>
  </si>
  <si>
    <t xml:space="preserve">Long Run</t>
  </si>
  <si>
    <t xml:space="preserve">Cloudy 48F</t>
  </si>
  <si>
    <t xml:space="preserve">Fueled well</t>
  </si>
  <si>
    <t xml:space="preserve">Active recovery walk</t>
  </si>
  <si>
    <t xml:space="preserve">Sunny 60F</t>
  </si>
  <si>
    <t xml:space="preserve">Cruise pace</t>
  </si>
  <si>
    <t xml:space="preserve">Held pace well</t>
  </si>
  <si>
    <t xml:space="preserve">Windy 50F</t>
  </si>
  <si>
    <t xml:space="preserve">Stretched after</t>
  </si>
  <si>
    <t xml:space="preserve">Steady all day</t>
  </si>
  <si>
    <t xml:space="preserve">Clear 58F</t>
  </si>
  <si>
    <t xml:space="preserve">Full recovery</t>
  </si>
  <si>
    <t xml:space="preserve">Legs fresh</t>
  </si>
  <si>
    <t xml:space="preserve">Intervals</t>
  </si>
  <si>
    <t xml:space="preserve">Mist 42F</t>
  </si>
  <si>
    <t xml:space="preserve">10x400 hard</t>
  </si>
  <si>
    <t xml:space="preserve">Breezy 54F</t>
  </si>
  <si>
    <t xml:space="preserve">Solid long effort</t>
  </si>
  <si>
    <t xml:space="preserve">Last mile tough</t>
  </si>
  <si>
    <t xml:space="preserve">Loose legs</t>
  </si>
  <si>
    <t xml:space="preserve">Hill Run</t>
  </si>
  <si>
    <t xml:space="preserve">6x hill repeats</t>
  </si>
  <si>
    <t xml:space="preserve">Controlled burn</t>
  </si>
  <si>
    <t xml:space="preserve">Shake-out miles</t>
  </si>
  <si>
    <t xml:space="preserve">Hit all reps</t>
  </si>
  <si>
    <t xml:space="preserve">Mile 9 rough</t>
  </si>
  <si>
    <t xml:space="preserve">Off day</t>
  </si>
  <si>
    <t xml:space="preserve">8-WEEK SUMMARY</t>
  </si>
  <si>
    <t xml:space="preserve">Total Miles</t>
  </si>
  <si>
    <t xml:space="preserve">Average Pace</t>
  </si>
  <si>
    <t xml:space="preserve">Max Distance</t>
  </si>
  <si>
    <t xml:space="preserve">Total Calories</t>
  </si>
  <si>
    <t xml:space="preserve">Run Days</t>
  </si>
  <si>
    <t xml:space="preserve">Rest Days</t>
  </si>
  <si>
    <t xml:space="preserve">Avg HR</t>
  </si>
  <si>
    <t xml:space="preserve">Longest Run</t>
  </si>
  <si>
    <t xml:space="preserve">Weekly Mileage — Goal vs Actual</t>
  </si>
  <si>
    <t xml:space="preserve">Progressive 8-week build  ·  actuals pulled live from Training Log</t>
  </si>
  <si>
    <t xml:space="preserve">Week</t>
  </si>
  <si>
    <t xml:space="preserve">Goal Miles</t>
  </si>
  <si>
    <t xml:space="preserve">Actual Miles</t>
  </si>
  <si>
    <t xml:space="preserve">Diff (Act - Goal)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</si>
  <si>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</si>
  <si>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</si>
  <si>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</si>
  <si>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</si>
  <si>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</si>
  <si>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</si>
  <si>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</si>
  <si>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</si>
  <si>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</si>
  <si>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TOTAL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</si>
</sst>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d&quot;, &quot;yyyy"/>
    <numFmt numFmtId="166" formatCode="0.00&quot; mi&quot;"/>
    <numFmt numFmtId="167" formatCode="0.00&quot; /mi&quot;"/>
    <numFmt numFmtId="168" formatCode="0.0&quot; min&quot;"/>
    <numFmt numFmtId="169" formatCode="0&quot; bpm&quot;"/>
    <numFmt numFmtId="170" formatCode="#,##0"/>
    <numFmt numFmtId="171" formatCode="0&quot; days&quot;"/>
    <numFmt numFmtId="172" formatCode="0.0&quot; mi&quot;"/>
    <numFmt numFmtId="173" formatCode="\+0.00&quot; mi&quot;;\-0.00&quot; mi&quot;;\—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9F1239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EDE9FE"/>
      </patternFill>
    </fill>
    <fill>
      <patternFill patternType="solid">
        <fgColor rgb="FFDBEAFE"/>
        <bgColor rgb="FFEDE9FE"/>
      </patternFill>
    </fill>
    <fill>
      <patternFill patternType="solid">
        <fgColor rgb="FFFEE2E2"/>
        <bgColor rgb="FFFFE4E6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FE4E6"/>
      </patternFill>
    </fill>
    <fill>
      <patternFill patternType="solid">
        <fgColor rgb="FFEDE9FE"/>
        <bgColor rgb="FFF3F4F6"/>
      </patternFill>
    </fill>
    <fill>
      <patternFill patternType="solid">
        <fgColor rgb="FFFFE4E6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5B21B6"/>
      <rgbColor rgb="FF065F46"/>
      <rgbColor rgb="FFD9D9D9"/>
      <rgbColor rgb="FF878787"/>
      <rgbColor rgb="FF9999FF"/>
      <rgbColor rgb="FFBE4B48"/>
      <rgbColor rgb="FFFEF3C7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9F1239"/>
      <rgbColor rgb="FF008080"/>
      <rgbColor rgb="FF0000FF"/>
      <rgbColor rgb="FF00CCFF"/>
      <rgbColor rgb="FFF3F4F6"/>
      <rgbColor rgb="FFD1FAE5"/>
      <rgbColor rgb="FFFFE4E6"/>
      <rgbColor rgb="FFEDE9FE"/>
      <rgbColor rgb="FFFF99CC"/>
      <rgbColor rgb="FFCC99FF"/>
      <rgbColor rgb="FFFEE2E2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Weekly Mileage: Goal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Summary'!B4</c:f>
              <c:strCache>
                <c:ptCount val="1"/>
                <c:pt idx="0">
                  <c:v>Goal Miles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Summary'!$A$5:$A$13</c:f>
              <c:strCache>
                <c:ptCount val="9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</c:strCache>
            </c:strRef>
          </c:cat>
          <c:val>
            <c:numRef>
              <c:f>'Weekly Summary'!$B$5:$B$13</c:f>
              <c:numCache>
                <c:formatCode>0.0" mi"</c:formatCode>
                <c:ptCount val="9"/>
                <c:pt idx="0">
                  <c:v>25</c:v>
                </c:pt>
                <c:pt idx="1">
                  <c:v>28</c:v>
                </c:pt>
                <c:pt idx="2">
                  <c:v>32</c:v>
                </c:pt>
                <c:pt idx="3">
                  <c:v>30</c:v>
                </c:pt>
                <c:pt idx="4">
                  <c:v>36</c:v>
                </c:pt>
                <c:pt idx="5">
                  <c:v>40</c:v>
                </c:pt>
                <c:pt idx="6">
                  <c:v>35</c:v>
                </c:pt>
                <c:pt idx="7">
                  <c:v>42</c:v>
                </c:pt>
                <c:pt idx="8">
                  <c:v>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'Weekly Summary'!C4</c:f>
              <c:strCache>
                <c:ptCount val="1"/>
                <c:pt idx="0">
                  <c:v>Actual Miles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Summary'!$A$5:$A$13</c:f>
              <c:strCache>
                <c:ptCount val="9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</c:strCache>
            </c:strRef>
          </c:cat>
          <c:val>
            <c:numRef>
              <c:f>'Weekly Summary'!$C$5:$C$13</c:f>
              <c:numCache>
                <c:formatCode>0.00" mi"</c:formatCode>
                <c:ptCount val="9"/>
                <c:pt idx="0">
                  <c:v>29.38</c:v>
                </c:pt>
                <c:pt idx="1">
                  <c:v>30.43</c:v>
                </c:pt>
                <c:pt idx="2">
                  <c:v>33.04</c:v>
                </c:pt>
                <c:pt idx="3">
                  <c:v>31.14</c:v>
                </c:pt>
                <c:pt idx="4">
                  <c:v>34.18</c:v>
                </c:pt>
                <c:pt idx="5">
                  <c:v>36.15</c:v>
                </c:pt>
                <c:pt idx="6">
                  <c:v>33.2</c:v>
                </c:pt>
                <c:pt idx="7">
                  <c:v>38.02</c:v>
                </c:pt>
                <c:pt idx="8">
                  <c:v>8.98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701574"/>
        <c:axId val="19122335"/>
      </c:lineChart>
      <c:catAx>
        <c:axId val="757015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22335"/>
        <c:crosses val="autoZero"/>
        <c:auto val="1"/>
        <c:lblAlgn val="ctr"/>
        <c:lblOffset val="100"/>
        <c:noMultiLvlLbl val="0"/>
      </c:catAx>
      <c:valAx>
        <c:axId val="19122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&quot; mi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7015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21</xdr:row>
      <xdr:rowOff>8640</xdr:rowOff>
    </xdr:to>
    <xdr:graphicFrame>
      <xdr:nvGraphicFramePr>
        <xdr:cNvPr id="1" name="Chart 1"/>
        <xdr:cNvGraphicFramePr/>
      </xdr:nvGraphicFramePr>
      <xdr:xfrm>
        <a:off x="4558680" y="704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7" min="4" style="0" width="13"/>
    <col collapsed="false" customWidth="true" hidden="false" outlineLevel="0" max="9" min="8" style="0" width="10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46054</v>
      </c>
      <c r="B5" s="5" t="s">
        <v>13</v>
      </c>
      <c r="C5" s="5" t="n">
        <v>1</v>
      </c>
      <c r="D5" s="6" t="s">
        <v>14</v>
      </c>
      <c r="E5" s="7" t="n">
        <v>4.67</v>
      </c>
      <c r="F5" s="8" t="n">
        <v>8.91</v>
      </c>
      <c r="G5" s="9" t="n">
        <v>41.6</v>
      </c>
      <c r="H5" s="10" t="n">
        <v>148</v>
      </c>
      <c r="I5" s="11" t="n">
        <v>529</v>
      </c>
      <c r="J5" s="5" t="s">
        <v>15</v>
      </c>
      <c r="K5" s="12" t="s">
        <v>16</v>
      </c>
    </row>
    <row r="6" customFormat="false" ht="15" hidden="false" customHeight="false" outlineLevel="0" collapsed="false">
      <c r="A6" s="13" t="n">
        <v>46055</v>
      </c>
      <c r="B6" s="14" t="s">
        <v>17</v>
      </c>
      <c r="C6" s="14" t="n">
        <v>1</v>
      </c>
      <c r="D6" s="15" t="s">
        <v>18</v>
      </c>
      <c r="E6" s="16"/>
      <c r="F6" s="17"/>
      <c r="G6" s="18"/>
      <c r="H6" s="19"/>
      <c r="I6" s="20"/>
      <c r="J6" s="14" t="s">
        <v>19</v>
      </c>
      <c r="K6" s="21" t="s">
        <v>20</v>
      </c>
    </row>
    <row r="7" customFormat="false" ht="15" hidden="false" customHeight="false" outlineLevel="0" collapsed="false">
      <c r="A7" s="4" t="n">
        <v>46056</v>
      </c>
      <c r="B7" s="5" t="s">
        <v>21</v>
      </c>
      <c r="C7" s="5" t="n">
        <v>1</v>
      </c>
      <c r="D7" s="6" t="s">
        <v>14</v>
      </c>
      <c r="E7" s="7" t="n">
        <v>4.71</v>
      </c>
      <c r="F7" s="8" t="n">
        <v>9.35</v>
      </c>
      <c r="G7" s="9" t="n">
        <v>44</v>
      </c>
      <c r="H7" s="10" t="n">
        <v>145</v>
      </c>
      <c r="I7" s="11" t="n">
        <v>544</v>
      </c>
      <c r="J7" s="5" t="s">
        <v>22</v>
      </c>
      <c r="K7" s="12" t="s">
        <v>23</v>
      </c>
    </row>
    <row r="8" customFormat="false" ht="15" hidden="false" customHeight="false" outlineLevel="0" collapsed="false">
      <c r="A8" s="13" t="n">
        <v>46057</v>
      </c>
      <c r="B8" s="14" t="s">
        <v>24</v>
      </c>
      <c r="C8" s="14" t="n">
        <v>1</v>
      </c>
      <c r="D8" s="22" t="s">
        <v>25</v>
      </c>
      <c r="E8" s="16" t="n">
        <v>4.94</v>
      </c>
      <c r="F8" s="17" t="n">
        <v>7.31</v>
      </c>
      <c r="G8" s="18" t="n">
        <v>36.1</v>
      </c>
      <c r="H8" s="19" t="n">
        <v>176</v>
      </c>
      <c r="I8" s="20" t="n">
        <v>572</v>
      </c>
      <c r="J8" s="14" t="s">
        <v>26</v>
      </c>
      <c r="K8" s="21" t="s">
        <v>27</v>
      </c>
    </row>
    <row r="9" customFormat="false" ht="15" hidden="false" customHeight="false" outlineLevel="0" collapsed="false">
      <c r="A9" s="4" t="n">
        <v>46058</v>
      </c>
      <c r="B9" s="5" t="s">
        <v>28</v>
      </c>
      <c r="C9" s="5" t="n">
        <v>1</v>
      </c>
      <c r="D9" s="6" t="s">
        <v>14</v>
      </c>
      <c r="E9" s="7" t="n">
        <v>4.14</v>
      </c>
      <c r="F9" s="8" t="n">
        <v>9.22</v>
      </c>
      <c r="G9" s="9" t="n">
        <v>38.2</v>
      </c>
      <c r="H9" s="10" t="n">
        <v>152</v>
      </c>
      <c r="I9" s="11" t="n">
        <v>474</v>
      </c>
      <c r="J9" s="5" t="s">
        <v>15</v>
      </c>
      <c r="K9" s="12" t="s">
        <v>29</v>
      </c>
    </row>
    <row r="10" customFormat="false" ht="15" hidden="false" customHeight="false" outlineLevel="0" collapsed="false">
      <c r="A10" s="13" t="n">
        <v>46059</v>
      </c>
      <c r="B10" s="14" t="s">
        <v>30</v>
      </c>
      <c r="C10" s="14" t="n">
        <v>1</v>
      </c>
      <c r="D10" s="23" t="s">
        <v>31</v>
      </c>
      <c r="E10" s="16" t="n">
        <v>3.11</v>
      </c>
      <c r="F10" s="17" t="n">
        <v>10.15</v>
      </c>
      <c r="G10" s="18" t="n">
        <v>31.6</v>
      </c>
      <c r="H10" s="19" t="n">
        <v>131</v>
      </c>
      <c r="I10" s="20" t="n">
        <v>366</v>
      </c>
      <c r="J10" s="14" t="s">
        <v>32</v>
      </c>
      <c r="K10" s="21" t="s">
        <v>33</v>
      </c>
    </row>
    <row r="11" customFormat="false" ht="15" hidden="false" customHeight="false" outlineLevel="0" collapsed="false">
      <c r="A11" s="4" t="n">
        <v>46060</v>
      </c>
      <c r="B11" s="5" t="s">
        <v>34</v>
      </c>
      <c r="C11" s="5" t="n">
        <v>1</v>
      </c>
      <c r="D11" s="24" t="s">
        <v>35</v>
      </c>
      <c r="E11" s="7" t="n">
        <v>7.81</v>
      </c>
      <c r="F11" s="8" t="n">
        <v>9.33</v>
      </c>
      <c r="G11" s="9" t="n">
        <v>72.9</v>
      </c>
      <c r="H11" s="10" t="n">
        <v>156</v>
      </c>
      <c r="I11" s="11" t="n">
        <v>886</v>
      </c>
      <c r="J11" s="5" t="s">
        <v>36</v>
      </c>
      <c r="K11" s="12" t="s">
        <v>37</v>
      </c>
    </row>
    <row r="12" customFormat="false" ht="15" hidden="false" customHeight="false" outlineLevel="0" collapsed="false">
      <c r="A12" s="13" t="n">
        <v>46061</v>
      </c>
      <c r="B12" s="14" t="s">
        <v>13</v>
      </c>
      <c r="C12" s="14" t="n">
        <v>2</v>
      </c>
      <c r="D12" s="6" t="s">
        <v>14</v>
      </c>
      <c r="E12" s="16" t="n">
        <v>4.02</v>
      </c>
      <c r="F12" s="17" t="n">
        <v>9.32</v>
      </c>
      <c r="G12" s="18" t="n">
        <v>37.5</v>
      </c>
      <c r="H12" s="19" t="n">
        <v>148</v>
      </c>
      <c r="I12" s="20" t="n">
        <v>472</v>
      </c>
      <c r="J12" s="14" t="s">
        <v>26</v>
      </c>
      <c r="K12" s="21" t="s">
        <v>29</v>
      </c>
    </row>
    <row r="13" customFormat="false" ht="15" hidden="false" customHeight="false" outlineLevel="0" collapsed="false">
      <c r="A13" s="4" t="n">
        <v>46062</v>
      </c>
      <c r="B13" s="5" t="s">
        <v>17</v>
      </c>
      <c r="C13" s="5" t="n">
        <v>2</v>
      </c>
      <c r="D13" s="15" t="s">
        <v>18</v>
      </c>
      <c r="E13" s="7"/>
      <c r="F13" s="8"/>
      <c r="G13" s="9"/>
      <c r="H13" s="10"/>
      <c r="I13" s="11"/>
      <c r="J13" s="5" t="s">
        <v>19</v>
      </c>
      <c r="K13" s="12" t="s">
        <v>38</v>
      </c>
    </row>
    <row r="14" customFormat="false" ht="15" hidden="false" customHeight="false" outlineLevel="0" collapsed="false">
      <c r="A14" s="13" t="n">
        <v>46063</v>
      </c>
      <c r="B14" s="14" t="s">
        <v>21</v>
      </c>
      <c r="C14" s="14" t="n">
        <v>2</v>
      </c>
      <c r="D14" s="6" t="s">
        <v>14</v>
      </c>
      <c r="E14" s="16" t="n">
        <v>4.05</v>
      </c>
      <c r="F14" s="17" t="n">
        <v>9.36</v>
      </c>
      <c r="G14" s="18" t="n">
        <v>37.9</v>
      </c>
      <c r="H14" s="19" t="n">
        <v>145</v>
      </c>
      <c r="I14" s="20" t="n">
        <v>467</v>
      </c>
      <c r="J14" s="14" t="s">
        <v>39</v>
      </c>
      <c r="K14" s="21" t="s">
        <v>40</v>
      </c>
    </row>
    <row r="15" customFormat="false" ht="15" hidden="false" customHeight="false" outlineLevel="0" collapsed="false">
      <c r="A15" s="4" t="n">
        <v>46064</v>
      </c>
      <c r="B15" s="5" t="s">
        <v>24</v>
      </c>
      <c r="C15" s="5" t="n">
        <v>2</v>
      </c>
      <c r="D15" s="22" t="s">
        <v>25</v>
      </c>
      <c r="E15" s="7" t="n">
        <v>5.96</v>
      </c>
      <c r="F15" s="8" t="n">
        <v>7.38</v>
      </c>
      <c r="G15" s="9" t="n">
        <v>44</v>
      </c>
      <c r="H15" s="10" t="n">
        <v>171</v>
      </c>
      <c r="I15" s="11" t="n">
        <v>692</v>
      </c>
      <c r="J15" s="5" t="s">
        <v>36</v>
      </c>
      <c r="K15" s="12" t="s">
        <v>41</v>
      </c>
    </row>
    <row r="16" customFormat="false" ht="15" hidden="false" customHeight="false" outlineLevel="0" collapsed="false">
      <c r="A16" s="13" t="n">
        <v>46065</v>
      </c>
      <c r="B16" s="14" t="s">
        <v>28</v>
      </c>
      <c r="C16" s="14" t="n">
        <v>2</v>
      </c>
      <c r="D16" s="6" t="s">
        <v>14</v>
      </c>
      <c r="E16" s="16" t="n">
        <v>4.69</v>
      </c>
      <c r="F16" s="17" t="n">
        <v>9.29</v>
      </c>
      <c r="G16" s="18" t="n">
        <v>43.6</v>
      </c>
      <c r="H16" s="19" t="n">
        <v>145</v>
      </c>
      <c r="I16" s="20" t="n">
        <v>551</v>
      </c>
      <c r="J16" s="14" t="s">
        <v>15</v>
      </c>
      <c r="K16" s="21" t="s">
        <v>23</v>
      </c>
    </row>
    <row r="17" customFormat="false" ht="15" hidden="false" customHeight="false" outlineLevel="0" collapsed="false">
      <c r="A17" s="4" t="n">
        <v>46066</v>
      </c>
      <c r="B17" s="5" t="s">
        <v>30</v>
      </c>
      <c r="C17" s="5" t="n">
        <v>2</v>
      </c>
      <c r="D17" s="23" t="s">
        <v>31</v>
      </c>
      <c r="E17" s="7" t="n">
        <v>2.86</v>
      </c>
      <c r="F17" s="8" t="n">
        <v>9.98</v>
      </c>
      <c r="G17" s="9" t="n">
        <v>28.5</v>
      </c>
      <c r="H17" s="10" t="n">
        <v>136</v>
      </c>
      <c r="I17" s="11" t="n">
        <v>318</v>
      </c>
      <c r="J17" s="5" t="s">
        <v>42</v>
      </c>
      <c r="K17" s="12" t="s">
        <v>43</v>
      </c>
    </row>
    <row r="18" customFormat="false" ht="15" hidden="false" customHeight="false" outlineLevel="0" collapsed="false">
      <c r="A18" s="13" t="n">
        <v>46067</v>
      </c>
      <c r="B18" s="14" t="s">
        <v>34</v>
      </c>
      <c r="C18" s="14" t="n">
        <v>2</v>
      </c>
      <c r="D18" s="24" t="s">
        <v>35</v>
      </c>
      <c r="E18" s="16" t="n">
        <v>8.85</v>
      </c>
      <c r="F18" s="17" t="n">
        <v>9.38</v>
      </c>
      <c r="G18" s="18" t="n">
        <v>83</v>
      </c>
      <c r="H18" s="19" t="n">
        <v>152</v>
      </c>
      <c r="I18" s="20" t="n">
        <v>1021</v>
      </c>
      <c r="J18" s="14" t="s">
        <v>32</v>
      </c>
      <c r="K18" s="21" t="s">
        <v>44</v>
      </c>
    </row>
    <row r="19" customFormat="false" ht="15" hidden="false" customHeight="false" outlineLevel="0" collapsed="false">
      <c r="A19" s="4" t="n">
        <v>46068</v>
      </c>
      <c r="B19" s="5" t="s">
        <v>13</v>
      </c>
      <c r="C19" s="5" t="n">
        <v>3</v>
      </c>
      <c r="D19" s="6" t="s">
        <v>14</v>
      </c>
      <c r="E19" s="7" t="n">
        <v>4.77</v>
      </c>
      <c r="F19" s="8" t="n">
        <v>8.98</v>
      </c>
      <c r="G19" s="9" t="n">
        <v>42.8</v>
      </c>
      <c r="H19" s="10" t="n">
        <v>150</v>
      </c>
      <c r="I19" s="11" t="n">
        <v>541</v>
      </c>
      <c r="J19" s="5" t="s">
        <v>45</v>
      </c>
      <c r="K19" s="12" t="s">
        <v>16</v>
      </c>
    </row>
    <row r="20" customFormat="false" ht="15" hidden="false" customHeight="false" outlineLevel="0" collapsed="false">
      <c r="A20" s="13" t="n">
        <v>46069</v>
      </c>
      <c r="B20" s="14" t="s">
        <v>17</v>
      </c>
      <c r="C20" s="14" t="n">
        <v>3</v>
      </c>
      <c r="D20" s="15" t="s">
        <v>18</v>
      </c>
      <c r="E20" s="16"/>
      <c r="F20" s="17"/>
      <c r="G20" s="18"/>
      <c r="H20" s="19"/>
      <c r="I20" s="20"/>
      <c r="J20" s="14" t="s">
        <v>19</v>
      </c>
      <c r="K20" s="21" t="s">
        <v>46</v>
      </c>
    </row>
    <row r="21" customFormat="false" ht="15" hidden="false" customHeight="false" outlineLevel="0" collapsed="false">
      <c r="A21" s="4" t="n">
        <v>46070</v>
      </c>
      <c r="B21" s="5" t="s">
        <v>21</v>
      </c>
      <c r="C21" s="5" t="n">
        <v>3</v>
      </c>
      <c r="D21" s="6" t="s">
        <v>14</v>
      </c>
      <c r="E21" s="7" t="n">
        <v>4.91</v>
      </c>
      <c r="F21" s="8" t="n">
        <v>9.29</v>
      </c>
      <c r="G21" s="9" t="n">
        <v>45.6</v>
      </c>
      <c r="H21" s="10" t="n">
        <v>147</v>
      </c>
      <c r="I21" s="11" t="n">
        <v>575</v>
      </c>
      <c r="J21" s="5" t="s">
        <v>26</v>
      </c>
      <c r="K21" s="12" t="s">
        <v>47</v>
      </c>
    </row>
    <row r="22" customFormat="false" ht="15" hidden="false" customHeight="false" outlineLevel="0" collapsed="false">
      <c r="A22" s="13" t="n">
        <v>46071</v>
      </c>
      <c r="B22" s="14" t="s">
        <v>24</v>
      </c>
      <c r="C22" s="14" t="n">
        <v>3</v>
      </c>
      <c r="D22" s="25" t="s">
        <v>48</v>
      </c>
      <c r="E22" s="16" t="n">
        <v>4.88</v>
      </c>
      <c r="F22" s="17" t="n">
        <v>7.08</v>
      </c>
      <c r="G22" s="18" t="n">
        <v>34.6</v>
      </c>
      <c r="H22" s="19" t="n">
        <v>179</v>
      </c>
      <c r="I22" s="20" t="n">
        <v>552</v>
      </c>
      <c r="J22" s="14" t="s">
        <v>49</v>
      </c>
      <c r="K22" s="21" t="s">
        <v>50</v>
      </c>
    </row>
    <row r="23" customFormat="false" ht="15" hidden="false" customHeight="false" outlineLevel="0" collapsed="false">
      <c r="A23" s="4" t="n">
        <v>46072</v>
      </c>
      <c r="B23" s="5" t="s">
        <v>28</v>
      </c>
      <c r="C23" s="5" t="n">
        <v>3</v>
      </c>
      <c r="D23" s="6" t="s">
        <v>14</v>
      </c>
      <c r="E23" s="7" t="n">
        <v>4.96</v>
      </c>
      <c r="F23" s="8" t="n">
        <v>9.22</v>
      </c>
      <c r="G23" s="9" t="n">
        <v>45.7</v>
      </c>
      <c r="H23" s="10" t="n">
        <v>146</v>
      </c>
      <c r="I23" s="11" t="n">
        <v>563</v>
      </c>
      <c r="J23" s="5" t="s">
        <v>32</v>
      </c>
      <c r="K23" s="12" t="s">
        <v>16</v>
      </c>
    </row>
    <row r="24" customFormat="false" ht="15" hidden="false" customHeight="false" outlineLevel="0" collapsed="false">
      <c r="A24" s="13" t="n">
        <v>46073</v>
      </c>
      <c r="B24" s="14" t="s">
        <v>30</v>
      </c>
      <c r="C24" s="14" t="n">
        <v>3</v>
      </c>
      <c r="D24" s="23" t="s">
        <v>31</v>
      </c>
      <c r="E24" s="16" t="n">
        <v>3.29</v>
      </c>
      <c r="F24" s="17" t="n">
        <v>10.02</v>
      </c>
      <c r="G24" s="18" t="n">
        <v>33</v>
      </c>
      <c r="H24" s="19" t="n">
        <v>137</v>
      </c>
      <c r="I24" s="20" t="n">
        <v>391</v>
      </c>
      <c r="J24" s="14" t="s">
        <v>51</v>
      </c>
      <c r="K24" s="21" t="s">
        <v>33</v>
      </c>
    </row>
    <row r="25" customFormat="false" ht="15" hidden="false" customHeight="false" outlineLevel="0" collapsed="false">
      <c r="A25" s="4" t="n">
        <v>46074</v>
      </c>
      <c r="B25" s="5" t="s">
        <v>34</v>
      </c>
      <c r="C25" s="5" t="n">
        <v>3</v>
      </c>
      <c r="D25" s="24" t="s">
        <v>35</v>
      </c>
      <c r="E25" s="7" t="n">
        <v>10.23</v>
      </c>
      <c r="F25" s="8" t="n">
        <v>9.75</v>
      </c>
      <c r="G25" s="9" t="n">
        <v>99.7</v>
      </c>
      <c r="H25" s="10" t="n">
        <v>153</v>
      </c>
      <c r="I25" s="11" t="n">
        <v>1177</v>
      </c>
      <c r="J25" s="5" t="s">
        <v>49</v>
      </c>
      <c r="K25" s="12" t="s">
        <v>52</v>
      </c>
    </row>
    <row r="26" customFormat="false" ht="15" hidden="false" customHeight="false" outlineLevel="0" collapsed="false">
      <c r="A26" s="13" t="n">
        <v>46075</v>
      </c>
      <c r="B26" s="14" t="s">
        <v>13</v>
      </c>
      <c r="C26" s="14" t="n">
        <v>4</v>
      </c>
      <c r="D26" s="6" t="s">
        <v>14</v>
      </c>
      <c r="E26" s="16" t="n">
        <v>4.81</v>
      </c>
      <c r="F26" s="17" t="n">
        <v>9.33</v>
      </c>
      <c r="G26" s="18" t="n">
        <v>44.9</v>
      </c>
      <c r="H26" s="19" t="n">
        <v>146</v>
      </c>
      <c r="I26" s="20" t="n">
        <v>558</v>
      </c>
      <c r="J26" s="14" t="s">
        <v>32</v>
      </c>
      <c r="K26" s="21" t="s">
        <v>29</v>
      </c>
    </row>
    <row r="27" customFormat="false" ht="15" hidden="false" customHeight="false" outlineLevel="0" collapsed="false">
      <c r="A27" s="4" t="n">
        <v>46076</v>
      </c>
      <c r="B27" s="5" t="s">
        <v>17</v>
      </c>
      <c r="C27" s="5" t="n">
        <v>4</v>
      </c>
      <c r="D27" s="15" t="s">
        <v>18</v>
      </c>
      <c r="E27" s="7"/>
      <c r="F27" s="8"/>
      <c r="G27" s="9"/>
      <c r="H27" s="10"/>
      <c r="I27" s="11"/>
      <c r="J27" s="5" t="s">
        <v>19</v>
      </c>
      <c r="K27" s="12" t="s">
        <v>38</v>
      </c>
    </row>
    <row r="28" customFormat="false" ht="15" hidden="false" customHeight="false" outlineLevel="0" collapsed="false">
      <c r="A28" s="13" t="n">
        <v>46077</v>
      </c>
      <c r="B28" s="14" t="s">
        <v>21</v>
      </c>
      <c r="C28" s="14" t="n">
        <v>4</v>
      </c>
      <c r="D28" s="6" t="s">
        <v>14</v>
      </c>
      <c r="E28" s="16" t="n">
        <v>3.98</v>
      </c>
      <c r="F28" s="17" t="n">
        <v>9.09</v>
      </c>
      <c r="G28" s="18" t="n">
        <v>36.2</v>
      </c>
      <c r="H28" s="19" t="n">
        <v>151</v>
      </c>
      <c r="I28" s="20" t="n">
        <v>458</v>
      </c>
      <c r="J28" s="14" t="s">
        <v>39</v>
      </c>
      <c r="K28" s="21" t="s">
        <v>40</v>
      </c>
    </row>
    <row r="29" customFormat="false" ht="15" hidden="false" customHeight="false" outlineLevel="0" collapsed="false">
      <c r="A29" s="4" t="n">
        <v>46078</v>
      </c>
      <c r="B29" s="5" t="s">
        <v>24</v>
      </c>
      <c r="C29" s="5" t="n">
        <v>4</v>
      </c>
      <c r="D29" s="22" t="s">
        <v>25</v>
      </c>
      <c r="E29" s="7" t="n">
        <v>5.93</v>
      </c>
      <c r="F29" s="8" t="n">
        <v>7.21</v>
      </c>
      <c r="G29" s="9" t="n">
        <v>42.8</v>
      </c>
      <c r="H29" s="10" t="n">
        <v>169</v>
      </c>
      <c r="I29" s="11" t="n">
        <v>687</v>
      </c>
      <c r="J29" s="5" t="s">
        <v>45</v>
      </c>
      <c r="K29" s="12" t="s">
        <v>53</v>
      </c>
    </row>
    <row r="30" customFormat="false" ht="15" hidden="false" customHeight="false" outlineLevel="0" collapsed="false">
      <c r="A30" s="13" t="n">
        <v>46079</v>
      </c>
      <c r="B30" s="14" t="s">
        <v>28</v>
      </c>
      <c r="C30" s="14" t="n">
        <v>4</v>
      </c>
      <c r="D30" s="6" t="s">
        <v>14</v>
      </c>
      <c r="E30" s="16" t="n">
        <v>4.82</v>
      </c>
      <c r="F30" s="17" t="n">
        <v>9.07</v>
      </c>
      <c r="G30" s="18" t="n">
        <v>43.7</v>
      </c>
      <c r="H30" s="19" t="n">
        <v>148</v>
      </c>
      <c r="I30" s="20" t="n">
        <v>552</v>
      </c>
      <c r="J30" s="14" t="s">
        <v>32</v>
      </c>
      <c r="K30" s="21" t="s">
        <v>29</v>
      </c>
    </row>
    <row r="31" customFormat="false" ht="15" hidden="false" customHeight="false" outlineLevel="0" collapsed="false">
      <c r="A31" s="4" t="n">
        <v>46080</v>
      </c>
      <c r="B31" s="5" t="s">
        <v>30</v>
      </c>
      <c r="C31" s="5" t="n">
        <v>4</v>
      </c>
      <c r="D31" s="23" t="s">
        <v>31</v>
      </c>
      <c r="E31" s="7" t="n">
        <v>2.4</v>
      </c>
      <c r="F31" s="8" t="n">
        <v>10.11</v>
      </c>
      <c r="G31" s="9" t="n">
        <v>24.3</v>
      </c>
      <c r="H31" s="10" t="n">
        <v>135</v>
      </c>
      <c r="I31" s="11" t="n">
        <v>277</v>
      </c>
      <c r="J31" s="5" t="s">
        <v>32</v>
      </c>
      <c r="K31" s="12" t="s">
        <v>54</v>
      </c>
    </row>
    <row r="32" customFormat="false" ht="15" hidden="false" customHeight="false" outlineLevel="0" collapsed="false">
      <c r="A32" s="13" t="n">
        <v>46081</v>
      </c>
      <c r="B32" s="14" t="s">
        <v>34</v>
      </c>
      <c r="C32" s="14" t="n">
        <v>4</v>
      </c>
      <c r="D32" s="24" t="s">
        <v>35</v>
      </c>
      <c r="E32" s="16" t="n">
        <v>9.2</v>
      </c>
      <c r="F32" s="17" t="n">
        <v>9.69</v>
      </c>
      <c r="G32" s="18" t="n">
        <v>89.1</v>
      </c>
      <c r="H32" s="19" t="n">
        <v>155</v>
      </c>
      <c r="I32" s="20" t="n">
        <v>1069</v>
      </c>
      <c r="J32" s="14" t="s">
        <v>45</v>
      </c>
      <c r="K32" s="21" t="s">
        <v>44</v>
      </c>
    </row>
    <row r="33" customFormat="false" ht="15" hidden="false" customHeight="false" outlineLevel="0" collapsed="false">
      <c r="A33" s="4" t="n">
        <v>46082</v>
      </c>
      <c r="B33" s="5" t="s">
        <v>13</v>
      </c>
      <c r="C33" s="5" t="n">
        <v>5</v>
      </c>
      <c r="D33" s="6" t="s">
        <v>14</v>
      </c>
      <c r="E33" s="7" t="n">
        <v>4.14</v>
      </c>
      <c r="F33" s="8" t="n">
        <v>9.09</v>
      </c>
      <c r="G33" s="9" t="n">
        <v>37.6</v>
      </c>
      <c r="H33" s="10" t="n">
        <v>146</v>
      </c>
      <c r="I33" s="11" t="n">
        <v>478</v>
      </c>
      <c r="J33" s="5" t="s">
        <v>45</v>
      </c>
      <c r="K33" s="12" t="s">
        <v>23</v>
      </c>
    </row>
    <row r="34" customFormat="false" ht="15" hidden="false" customHeight="false" outlineLevel="0" collapsed="false">
      <c r="A34" s="13" t="n">
        <v>46083</v>
      </c>
      <c r="B34" s="14" t="s">
        <v>17</v>
      </c>
      <c r="C34" s="14" t="n">
        <v>5</v>
      </c>
      <c r="D34" s="15" t="s">
        <v>18</v>
      </c>
      <c r="E34" s="16"/>
      <c r="F34" s="17"/>
      <c r="G34" s="18"/>
      <c r="H34" s="19"/>
      <c r="I34" s="20"/>
      <c r="J34" s="14" t="s">
        <v>19</v>
      </c>
      <c r="K34" s="21" t="s">
        <v>38</v>
      </c>
    </row>
    <row r="35" customFormat="false" ht="15" hidden="false" customHeight="false" outlineLevel="0" collapsed="false">
      <c r="A35" s="4" t="n">
        <v>46084</v>
      </c>
      <c r="B35" s="5" t="s">
        <v>21</v>
      </c>
      <c r="C35" s="5" t="n">
        <v>5</v>
      </c>
      <c r="D35" s="6" t="s">
        <v>14</v>
      </c>
      <c r="E35" s="7" t="n">
        <v>4.29</v>
      </c>
      <c r="F35" s="8" t="n">
        <v>8.91</v>
      </c>
      <c r="G35" s="9" t="n">
        <v>38.2</v>
      </c>
      <c r="H35" s="10" t="n">
        <v>149</v>
      </c>
      <c r="I35" s="11" t="n">
        <v>506</v>
      </c>
      <c r="J35" s="5" t="s">
        <v>39</v>
      </c>
      <c r="K35" s="12" t="s">
        <v>16</v>
      </c>
    </row>
    <row r="36" customFormat="false" ht="15" hidden="false" customHeight="false" outlineLevel="0" collapsed="false">
      <c r="A36" s="13" t="n">
        <v>46085</v>
      </c>
      <c r="B36" s="14" t="s">
        <v>24</v>
      </c>
      <c r="C36" s="14" t="n">
        <v>5</v>
      </c>
      <c r="D36" s="26" t="s">
        <v>55</v>
      </c>
      <c r="E36" s="16" t="n">
        <v>4.97</v>
      </c>
      <c r="F36" s="17" t="n">
        <v>8.49</v>
      </c>
      <c r="G36" s="18" t="n">
        <v>42.2</v>
      </c>
      <c r="H36" s="19" t="n">
        <v>167</v>
      </c>
      <c r="I36" s="20" t="n">
        <v>558</v>
      </c>
      <c r="J36" s="14" t="s">
        <v>49</v>
      </c>
      <c r="K36" s="21" t="s">
        <v>56</v>
      </c>
    </row>
    <row r="37" customFormat="false" ht="15" hidden="false" customHeight="false" outlineLevel="0" collapsed="false">
      <c r="A37" s="4" t="n">
        <v>46086</v>
      </c>
      <c r="B37" s="5" t="s">
        <v>28</v>
      </c>
      <c r="C37" s="5" t="n">
        <v>5</v>
      </c>
      <c r="D37" s="6" t="s">
        <v>14</v>
      </c>
      <c r="E37" s="7" t="n">
        <v>5.07</v>
      </c>
      <c r="F37" s="8" t="n">
        <v>9.17</v>
      </c>
      <c r="G37" s="9" t="n">
        <v>46.5</v>
      </c>
      <c r="H37" s="10" t="n">
        <v>146</v>
      </c>
      <c r="I37" s="11" t="n">
        <v>572</v>
      </c>
      <c r="J37" s="5" t="s">
        <v>49</v>
      </c>
      <c r="K37" s="12" t="s">
        <v>40</v>
      </c>
    </row>
    <row r="38" customFormat="false" ht="15" hidden="false" customHeight="false" outlineLevel="0" collapsed="false">
      <c r="A38" s="13" t="n">
        <v>46087</v>
      </c>
      <c r="B38" s="14" t="s">
        <v>30</v>
      </c>
      <c r="C38" s="14" t="n">
        <v>5</v>
      </c>
      <c r="D38" s="23" t="s">
        <v>31</v>
      </c>
      <c r="E38" s="16" t="n">
        <v>2.6</v>
      </c>
      <c r="F38" s="17" t="n">
        <v>10.01</v>
      </c>
      <c r="G38" s="18" t="n">
        <v>26</v>
      </c>
      <c r="H38" s="19" t="n">
        <v>137</v>
      </c>
      <c r="I38" s="20" t="n">
        <v>314</v>
      </c>
      <c r="J38" s="14" t="s">
        <v>15</v>
      </c>
      <c r="K38" s="21" t="s">
        <v>54</v>
      </c>
    </row>
    <row r="39" customFormat="false" ht="15" hidden="false" customHeight="false" outlineLevel="0" collapsed="false">
      <c r="A39" s="4" t="n">
        <v>46088</v>
      </c>
      <c r="B39" s="5" t="s">
        <v>34</v>
      </c>
      <c r="C39" s="5" t="n">
        <v>5</v>
      </c>
      <c r="D39" s="24" t="s">
        <v>35</v>
      </c>
      <c r="E39" s="7" t="n">
        <v>13.11</v>
      </c>
      <c r="F39" s="8" t="n">
        <v>9.59</v>
      </c>
      <c r="G39" s="9" t="n">
        <v>125.7</v>
      </c>
      <c r="H39" s="10" t="n">
        <v>155</v>
      </c>
      <c r="I39" s="11" t="n">
        <v>1504</v>
      </c>
      <c r="J39" s="5" t="s">
        <v>42</v>
      </c>
      <c r="K39" s="12" t="s">
        <v>37</v>
      </c>
    </row>
    <row r="40" customFormat="false" ht="15" hidden="false" customHeight="false" outlineLevel="0" collapsed="false">
      <c r="A40" s="13" t="n">
        <v>46089</v>
      </c>
      <c r="B40" s="14" t="s">
        <v>13</v>
      </c>
      <c r="C40" s="14" t="n">
        <v>6</v>
      </c>
      <c r="D40" s="6" t="s">
        <v>14</v>
      </c>
      <c r="E40" s="16" t="n">
        <v>4.98</v>
      </c>
      <c r="F40" s="17" t="n">
        <v>9.13</v>
      </c>
      <c r="G40" s="18" t="n">
        <v>45.5</v>
      </c>
      <c r="H40" s="19" t="n">
        <v>147</v>
      </c>
      <c r="I40" s="20" t="n">
        <v>564</v>
      </c>
      <c r="J40" s="14" t="s">
        <v>36</v>
      </c>
      <c r="K40" s="21" t="s">
        <v>47</v>
      </c>
    </row>
    <row r="41" customFormat="false" ht="15" hidden="false" customHeight="false" outlineLevel="0" collapsed="false">
      <c r="A41" s="4" t="n">
        <v>46090</v>
      </c>
      <c r="B41" s="5" t="s">
        <v>17</v>
      </c>
      <c r="C41" s="5" t="n">
        <v>6</v>
      </c>
      <c r="D41" s="15" t="s">
        <v>18</v>
      </c>
      <c r="E41" s="7"/>
      <c r="F41" s="8"/>
      <c r="G41" s="9"/>
      <c r="H41" s="10"/>
      <c r="I41" s="11"/>
      <c r="J41" s="5" t="s">
        <v>19</v>
      </c>
      <c r="K41" s="12" t="s">
        <v>20</v>
      </c>
    </row>
    <row r="42" customFormat="false" ht="15" hidden="false" customHeight="false" outlineLevel="0" collapsed="false">
      <c r="A42" s="13" t="n">
        <v>46091</v>
      </c>
      <c r="B42" s="14" t="s">
        <v>21</v>
      </c>
      <c r="C42" s="14" t="n">
        <v>6</v>
      </c>
      <c r="D42" s="6" t="s">
        <v>14</v>
      </c>
      <c r="E42" s="16" t="n">
        <v>4.61</v>
      </c>
      <c r="F42" s="17" t="n">
        <v>9.02</v>
      </c>
      <c r="G42" s="18" t="n">
        <v>41.6</v>
      </c>
      <c r="H42" s="19" t="n">
        <v>147</v>
      </c>
      <c r="I42" s="20" t="n">
        <v>515</v>
      </c>
      <c r="J42" s="14" t="s">
        <v>36</v>
      </c>
      <c r="K42" s="21" t="s">
        <v>23</v>
      </c>
    </row>
    <row r="43" customFormat="false" ht="15" hidden="false" customHeight="false" outlineLevel="0" collapsed="false">
      <c r="A43" s="4" t="n">
        <v>46092</v>
      </c>
      <c r="B43" s="5" t="s">
        <v>24</v>
      </c>
      <c r="C43" s="5" t="n">
        <v>6</v>
      </c>
      <c r="D43" s="22" t="s">
        <v>25</v>
      </c>
      <c r="E43" s="7" t="n">
        <v>5.17</v>
      </c>
      <c r="F43" s="8" t="n">
        <v>7.65</v>
      </c>
      <c r="G43" s="9" t="n">
        <v>39.6</v>
      </c>
      <c r="H43" s="10" t="n">
        <v>173</v>
      </c>
      <c r="I43" s="11" t="n">
        <v>581</v>
      </c>
      <c r="J43" s="5" t="s">
        <v>45</v>
      </c>
      <c r="K43" s="12" t="s">
        <v>57</v>
      </c>
    </row>
    <row r="44" customFormat="false" ht="15" hidden="false" customHeight="false" outlineLevel="0" collapsed="false">
      <c r="A44" s="13" t="n">
        <v>46093</v>
      </c>
      <c r="B44" s="14" t="s">
        <v>28</v>
      </c>
      <c r="C44" s="14" t="n">
        <v>6</v>
      </c>
      <c r="D44" s="6" t="s">
        <v>14</v>
      </c>
      <c r="E44" s="16" t="n">
        <v>4.23</v>
      </c>
      <c r="F44" s="17" t="n">
        <v>9.14</v>
      </c>
      <c r="G44" s="18" t="n">
        <v>38.7</v>
      </c>
      <c r="H44" s="19" t="n">
        <v>152</v>
      </c>
      <c r="I44" s="20" t="n">
        <v>475</v>
      </c>
      <c r="J44" s="14" t="s">
        <v>51</v>
      </c>
      <c r="K44" s="21" t="s">
        <v>40</v>
      </c>
    </row>
    <row r="45" customFormat="false" ht="15" hidden="false" customHeight="false" outlineLevel="0" collapsed="false">
      <c r="A45" s="4" t="n">
        <v>46094</v>
      </c>
      <c r="B45" s="5" t="s">
        <v>30</v>
      </c>
      <c r="C45" s="5" t="n">
        <v>6</v>
      </c>
      <c r="D45" s="23" t="s">
        <v>31</v>
      </c>
      <c r="E45" s="7" t="n">
        <v>2.97</v>
      </c>
      <c r="F45" s="8" t="n">
        <v>10.14</v>
      </c>
      <c r="G45" s="9" t="n">
        <v>30.1</v>
      </c>
      <c r="H45" s="10" t="n">
        <v>137</v>
      </c>
      <c r="I45" s="11" t="n">
        <v>332</v>
      </c>
      <c r="J45" s="5" t="s">
        <v>36</v>
      </c>
      <c r="K45" s="12" t="s">
        <v>58</v>
      </c>
    </row>
    <row r="46" customFormat="false" ht="15" hidden="false" customHeight="false" outlineLevel="0" collapsed="false">
      <c r="A46" s="13" t="n">
        <v>46095</v>
      </c>
      <c r="B46" s="14" t="s">
        <v>34</v>
      </c>
      <c r="C46" s="14" t="n">
        <v>6</v>
      </c>
      <c r="D46" s="24" t="s">
        <v>35</v>
      </c>
      <c r="E46" s="16" t="n">
        <v>14.19</v>
      </c>
      <c r="F46" s="17" t="n">
        <v>9.43</v>
      </c>
      <c r="G46" s="18" t="n">
        <v>133.8</v>
      </c>
      <c r="H46" s="19" t="n">
        <v>157</v>
      </c>
      <c r="I46" s="20" t="n">
        <v>1630</v>
      </c>
      <c r="J46" s="14" t="s">
        <v>26</v>
      </c>
      <c r="K46" s="21" t="s">
        <v>52</v>
      </c>
    </row>
    <row r="47" customFormat="false" ht="15" hidden="false" customHeight="false" outlineLevel="0" collapsed="false">
      <c r="A47" s="4" t="n">
        <v>46096</v>
      </c>
      <c r="B47" s="5" t="s">
        <v>13</v>
      </c>
      <c r="C47" s="5" t="n">
        <v>7</v>
      </c>
      <c r="D47" s="6" t="s">
        <v>14</v>
      </c>
      <c r="E47" s="7" t="n">
        <v>3.97</v>
      </c>
      <c r="F47" s="8" t="n">
        <v>9.26</v>
      </c>
      <c r="G47" s="9" t="n">
        <v>36.8</v>
      </c>
      <c r="H47" s="10" t="n">
        <v>145</v>
      </c>
      <c r="I47" s="11" t="n">
        <v>448</v>
      </c>
      <c r="J47" s="5" t="s">
        <v>15</v>
      </c>
      <c r="K47" s="12" t="s">
        <v>16</v>
      </c>
    </row>
    <row r="48" customFormat="false" ht="15" hidden="false" customHeight="false" outlineLevel="0" collapsed="false">
      <c r="A48" s="13" t="n">
        <v>46097</v>
      </c>
      <c r="B48" s="14" t="s">
        <v>17</v>
      </c>
      <c r="C48" s="14" t="n">
        <v>7</v>
      </c>
      <c r="D48" s="15" t="s">
        <v>18</v>
      </c>
      <c r="E48" s="16"/>
      <c r="F48" s="17"/>
      <c r="G48" s="18"/>
      <c r="H48" s="19"/>
      <c r="I48" s="20"/>
      <c r="J48" s="14" t="s">
        <v>19</v>
      </c>
      <c r="K48" s="21" t="s">
        <v>38</v>
      </c>
    </row>
    <row r="49" customFormat="false" ht="15" hidden="false" customHeight="false" outlineLevel="0" collapsed="false">
      <c r="A49" s="4" t="n">
        <v>46098</v>
      </c>
      <c r="B49" s="5" t="s">
        <v>21</v>
      </c>
      <c r="C49" s="5" t="n">
        <v>7</v>
      </c>
      <c r="D49" s="6" t="s">
        <v>14</v>
      </c>
      <c r="E49" s="7" t="n">
        <v>4.44</v>
      </c>
      <c r="F49" s="8" t="n">
        <v>9.11</v>
      </c>
      <c r="G49" s="9" t="n">
        <v>40.4</v>
      </c>
      <c r="H49" s="10" t="n">
        <v>148</v>
      </c>
      <c r="I49" s="11" t="n">
        <v>509</v>
      </c>
      <c r="J49" s="5" t="s">
        <v>15</v>
      </c>
      <c r="K49" s="12" t="s">
        <v>23</v>
      </c>
    </row>
    <row r="50" customFormat="false" ht="15" hidden="false" customHeight="false" outlineLevel="0" collapsed="false">
      <c r="A50" s="13" t="n">
        <v>46099</v>
      </c>
      <c r="B50" s="14" t="s">
        <v>24</v>
      </c>
      <c r="C50" s="14" t="n">
        <v>7</v>
      </c>
      <c r="D50" s="25" t="s">
        <v>48</v>
      </c>
      <c r="E50" s="16" t="n">
        <v>4.93</v>
      </c>
      <c r="F50" s="17" t="n">
        <v>7.48</v>
      </c>
      <c r="G50" s="18" t="n">
        <v>36.9</v>
      </c>
      <c r="H50" s="19" t="n">
        <v>182</v>
      </c>
      <c r="I50" s="20" t="n">
        <v>554</v>
      </c>
      <c r="J50" s="14" t="s">
        <v>26</v>
      </c>
      <c r="K50" s="21" t="s">
        <v>59</v>
      </c>
    </row>
    <row r="51" customFormat="false" ht="15" hidden="false" customHeight="false" outlineLevel="0" collapsed="false">
      <c r="A51" s="4" t="n">
        <v>46100</v>
      </c>
      <c r="B51" s="5" t="s">
        <v>28</v>
      </c>
      <c r="C51" s="5" t="n">
        <v>7</v>
      </c>
      <c r="D51" s="6" t="s">
        <v>14</v>
      </c>
      <c r="E51" s="7" t="n">
        <v>4.9</v>
      </c>
      <c r="F51" s="8" t="n">
        <v>9.38</v>
      </c>
      <c r="G51" s="9" t="n">
        <v>46</v>
      </c>
      <c r="H51" s="10" t="n">
        <v>147</v>
      </c>
      <c r="I51" s="11" t="n">
        <v>553</v>
      </c>
      <c r="J51" s="5" t="s">
        <v>22</v>
      </c>
      <c r="K51" s="12" t="s">
        <v>29</v>
      </c>
    </row>
    <row r="52" customFormat="false" ht="15" hidden="false" customHeight="false" outlineLevel="0" collapsed="false">
      <c r="A52" s="13" t="n">
        <v>46101</v>
      </c>
      <c r="B52" s="14" t="s">
        <v>30</v>
      </c>
      <c r="C52" s="14" t="n">
        <v>7</v>
      </c>
      <c r="D52" s="23" t="s">
        <v>31</v>
      </c>
      <c r="E52" s="16" t="n">
        <v>2.98</v>
      </c>
      <c r="F52" s="17" t="n">
        <v>10.18</v>
      </c>
      <c r="G52" s="18" t="n">
        <v>30.3</v>
      </c>
      <c r="H52" s="19" t="n">
        <v>131</v>
      </c>
      <c r="I52" s="20" t="n">
        <v>332</v>
      </c>
      <c r="J52" s="14" t="s">
        <v>22</v>
      </c>
      <c r="K52" s="21" t="s">
        <v>58</v>
      </c>
    </row>
    <row r="53" customFormat="false" ht="15" hidden="false" customHeight="false" outlineLevel="0" collapsed="false">
      <c r="A53" s="4" t="n">
        <v>46102</v>
      </c>
      <c r="B53" s="5" t="s">
        <v>34</v>
      </c>
      <c r="C53" s="5" t="n">
        <v>7</v>
      </c>
      <c r="D53" s="24" t="s">
        <v>35</v>
      </c>
      <c r="E53" s="7" t="n">
        <v>11.98</v>
      </c>
      <c r="F53" s="8" t="n">
        <v>9.38</v>
      </c>
      <c r="G53" s="9" t="n">
        <v>112.4</v>
      </c>
      <c r="H53" s="10" t="n">
        <v>158</v>
      </c>
      <c r="I53" s="11" t="n">
        <v>1371</v>
      </c>
      <c r="J53" s="5" t="s">
        <v>22</v>
      </c>
      <c r="K53" s="12" t="s">
        <v>44</v>
      </c>
    </row>
    <row r="54" customFormat="false" ht="15" hidden="false" customHeight="false" outlineLevel="0" collapsed="false">
      <c r="A54" s="13" t="n">
        <v>46103</v>
      </c>
      <c r="B54" s="14" t="s">
        <v>13</v>
      </c>
      <c r="C54" s="14" t="n">
        <v>8</v>
      </c>
      <c r="D54" s="6" t="s">
        <v>14</v>
      </c>
      <c r="E54" s="16" t="n">
        <v>4.69</v>
      </c>
      <c r="F54" s="17" t="n">
        <v>9.14</v>
      </c>
      <c r="G54" s="18" t="n">
        <v>42.9</v>
      </c>
      <c r="H54" s="19" t="n">
        <v>147</v>
      </c>
      <c r="I54" s="20" t="n">
        <v>533</v>
      </c>
      <c r="J54" s="14" t="s">
        <v>15</v>
      </c>
      <c r="K54" s="21" t="s">
        <v>23</v>
      </c>
    </row>
    <row r="55" customFormat="false" ht="15" hidden="false" customHeight="false" outlineLevel="0" collapsed="false">
      <c r="A55" s="4" t="n">
        <v>46104</v>
      </c>
      <c r="B55" s="5" t="s">
        <v>17</v>
      </c>
      <c r="C55" s="5" t="n">
        <v>8</v>
      </c>
      <c r="D55" s="15" t="s">
        <v>18</v>
      </c>
      <c r="E55" s="7"/>
      <c r="F55" s="8"/>
      <c r="G55" s="9"/>
      <c r="H55" s="10"/>
      <c r="I55" s="11"/>
      <c r="J55" s="5" t="s">
        <v>19</v>
      </c>
      <c r="K55" s="12" t="s">
        <v>38</v>
      </c>
    </row>
    <row r="56" customFormat="false" ht="15" hidden="false" customHeight="false" outlineLevel="0" collapsed="false">
      <c r="A56" s="13" t="n">
        <v>46105</v>
      </c>
      <c r="B56" s="14" t="s">
        <v>21</v>
      </c>
      <c r="C56" s="14" t="n">
        <v>8</v>
      </c>
      <c r="D56" s="6" t="s">
        <v>14</v>
      </c>
      <c r="E56" s="16" t="n">
        <v>4.78</v>
      </c>
      <c r="F56" s="17" t="n">
        <v>8.93</v>
      </c>
      <c r="G56" s="18" t="n">
        <v>42.7</v>
      </c>
      <c r="H56" s="19" t="n">
        <v>149</v>
      </c>
      <c r="I56" s="20" t="n">
        <v>535</v>
      </c>
      <c r="J56" s="14" t="s">
        <v>26</v>
      </c>
      <c r="K56" s="21" t="s">
        <v>40</v>
      </c>
    </row>
    <row r="57" customFormat="false" ht="15" hidden="false" customHeight="false" outlineLevel="0" collapsed="false">
      <c r="A57" s="4" t="n">
        <v>46106</v>
      </c>
      <c r="B57" s="5" t="s">
        <v>24</v>
      </c>
      <c r="C57" s="5" t="n">
        <v>8</v>
      </c>
      <c r="D57" s="22" t="s">
        <v>25</v>
      </c>
      <c r="E57" s="7" t="n">
        <v>5.47</v>
      </c>
      <c r="F57" s="8" t="n">
        <v>7.66</v>
      </c>
      <c r="G57" s="9" t="n">
        <v>41.9</v>
      </c>
      <c r="H57" s="10" t="n">
        <v>176</v>
      </c>
      <c r="I57" s="11" t="n">
        <v>619</v>
      </c>
      <c r="J57" s="5" t="s">
        <v>26</v>
      </c>
      <c r="K57" s="12" t="s">
        <v>27</v>
      </c>
    </row>
    <row r="58" customFormat="false" ht="15" hidden="false" customHeight="false" outlineLevel="0" collapsed="false">
      <c r="A58" s="13" t="n">
        <v>46107</v>
      </c>
      <c r="B58" s="14" t="s">
        <v>28</v>
      </c>
      <c r="C58" s="14" t="n">
        <v>8</v>
      </c>
      <c r="D58" s="6" t="s">
        <v>14</v>
      </c>
      <c r="E58" s="16" t="n">
        <v>4</v>
      </c>
      <c r="F58" s="17" t="n">
        <v>8.99</v>
      </c>
      <c r="G58" s="18" t="n">
        <v>36</v>
      </c>
      <c r="H58" s="19" t="n">
        <v>145</v>
      </c>
      <c r="I58" s="20" t="n">
        <v>466</v>
      </c>
      <c r="J58" s="14" t="s">
        <v>15</v>
      </c>
      <c r="K58" s="21" t="s">
        <v>29</v>
      </c>
    </row>
    <row r="59" customFormat="false" ht="15" hidden="false" customHeight="false" outlineLevel="0" collapsed="false">
      <c r="A59" s="4" t="n">
        <v>46108</v>
      </c>
      <c r="B59" s="5" t="s">
        <v>30</v>
      </c>
      <c r="C59" s="5" t="n">
        <v>8</v>
      </c>
      <c r="D59" s="23" t="s">
        <v>31</v>
      </c>
      <c r="E59" s="7" t="n">
        <v>2.54</v>
      </c>
      <c r="F59" s="8" t="n">
        <v>10.2</v>
      </c>
      <c r="G59" s="9" t="n">
        <v>25.9</v>
      </c>
      <c r="H59" s="10" t="n">
        <v>134</v>
      </c>
      <c r="I59" s="11" t="n">
        <v>295</v>
      </c>
      <c r="J59" s="5" t="s">
        <v>51</v>
      </c>
      <c r="K59" s="12" t="s">
        <v>58</v>
      </c>
    </row>
    <row r="60" customFormat="false" ht="15" hidden="false" customHeight="false" outlineLevel="0" collapsed="false">
      <c r="A60" s="13" t="n">
        <v>46109</v>
      </c>
      <c r="B60" s="14" t="s">
        <v>34</v>
      </c>
      <c r="C60" s="14" t="n">
        <v>8</v>
      </c>
      <c r="D60" s="24" t="s">
        <v>35</v>
      </c>
      <c r="E60" s="16" t="n">
        <v>16.54</v>
      </c>
      <c r="F60" s="17" t="n">
        <v>9.46</v>
      </c>
      <c r="G60" s="18" t="n">
        <v>156.5</v>
      </c>
      <c r="H60" s="19" t="n">
        <v>159</v>
      </c>
      <c r="I60" s="20" t="n">
        <v>1897</v>
      </c>
      <c r="J60" s="14" t="s">
        <v>39</v>
      </c>
      <c r="K60" s="21" t="s">
        <v>60</v>
      </c>
    </row>
    <row r="61" customFormat="false" ht="15" hidden="false" customHeight="false" outlineLevel="0" collapsed="false">
      <c r="A61" s="4" t="n">
        <v>46110</v>
      </c>
      <c r="B61" s="5" t="s">
        <v>13</v>
      </c>
      <c r="C61" s="5" t="n">
        <v>9</v>
      </c>
      <c r="D61" s="6" t="s">
        <v>14</v>
      </c>
      <c r="E61" s="7" t="n">
        <v>4.7</v>
      </c>
      <c r="F61" s="8" t="n">
        <v>9.06</v>
      </c>
      <c r="G61" s="9" t="n">
        <v>42.6</v>
      </c>
      <c r="H61" s="10" t="n">
        <v>148</v>
      </c>
      <c r="I61" s="11" t="n">
        <v>537</v>
      </c>
      <c r="J61" s="5" t="s">
        <v>32</v>
      </c>
      <c r="K61" s="12" t="s">
        <v>47</v>
      </c>
    </row>
    <row r="62" customFormat="false" ht="15" hidden="false" customHeight="false" outlineLevel="0" collapsed="false">
      <c r="A62" s="13" t="n">
        <v>46111</v>
      </c>
      <c r="B62" s="14" t="s">
        <v>17</v>
      </c>
      <c r="C62" s="14" t="n">
        <v>9</v>
      </c>
      <c r="D62" s="15" t="s">
        <v>18</v>
      </c>
      <c r="E62" s="16"/>
      <c r="F62" s="17"/>
      <c r="G62" s="18"/>
      <c r="H62" s="19"/>
      <c r="I62" s="20"/>
      <c r="J62" s="14" t="s">
        <v>19</v>
      </c>
      <c r="K62" s="21" t="s">
        <v>61</v>
      </c>
    </row>
    <row r="63" customFormat="false" ht="15" hidden="false" customHeight="false" outlineLevel="0" collapsed="false">
      <c r="A63" s="4" t="n">
        <v>46112</v>
      </c>
      <c r="B63" s="5" t="s">
        <v>21</v>
      </c>
      <c r="C63" s="5" t="n">
        <v>9</v>
      </c>
      <c r="D63" s="6" t="s">
        <v>14</v>
      </c>
      <c r="E63" s="7" t="n">
        <v>4.28</v>
      </c>
      <c r="F63" s="8" t="n">
        <v>9.28</v>
      </c>
      <c r="G63" s="9" t="n">
        <v>39.7</v>
      </c>
      <c r="H63" s="10" t="n">
        <v>145</v>
      </c>
      <c r="I63" s="11" t="n">
        <v>477</v>
      </c>
      <c r="J63" s="5" t="s">
        <v>49</v>
      </c>
      <c r="K63" s="12" t="s">
        <v>40</v>
      </c>
    </row>
    <row r="65" customFormat="false" ht="15" hidden="false" customHeight="false" outlineLevel="0" collapsed="false">
      <c r="A65" s="27" t="s">
        <v>62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customFormat="false" ht="15" hidden="false" customHeight="false" outlineLevel="0" collapsed="false">
      <c r="A66" s="28" t="s">
        <v>63</v>
      </c>
      <c r="B66" s="28" t="s">
        <v>64</v>
      </c>
      <c r="C66" s="28" t="s">
        <v>65</v>
      </c>
      <c r="D66" s="28" t="s">
        <v>66</v>
      </c>
      <c r="E66" s="28" t="s">
        <v>67</v>
      </c>
      <c r="F66" s="28" t="s">
        <v>68</v>
      </c>
      <c r="G66" s="28" t="s">
        <v>69</v>
      </c>
      <c r="H66" s="28" t="s">
        <v>70</v>
      </c>
    </row>
    <row r="67" customFormat="false" ht="15" hidden="false" customHeight="false" outlineLevel="0" collapsed="false">
      <c r="A67" s="29" t="n">
        <f aca="false">SUM(E5:E63)</f>
        <v>274.52</v>
      </c>
      <c r="B67" s="30" t="n">
        <f aca="false">AVERAGEIF(F5:F63,"&gt;0")</f>
        <v>9.102</v>
      </c>
      <c r="C67" s="29" t="n">
        <f aca="false">MAX(E5:E63)</f>
        <v>16.54</v>
      </c>
      <c r="D67" s="31" t="n">
        <f aca="false">SUM(I5:I63)</f>
        <v>31447</v>
      </c>
      <c r="E67" s="32" t="n">
        <f aca="false">COUNTIF(D5:D63,"&lt;&gt;Rest")</f>
        <v>50</v>
      </c>
      <c r="F67" s="32" t="n">
        <f aca="false">COUNTIF(D5:D63,"Rest")</f>
        <v>9</v>
      </c>
      <c r="G67" s="33" t="n">
        <f aca="false">AVERAGEIF(H5:H63,"&gt;0")</f>
        <v>150.96</v>
      </c>
      <c r="H67" s="29" t="n">
        <f aca="false">MAX(E5:E63)</f>
        <v>16.54</v>
      </c>
    </row>
  </sheetData>
  <mergeCells count="3">
    <mergeCell ref="A1:K1"/>
    <mergeCell ref="A2:K2"/>
    <mergeCell ref="A65:K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34" t="s">
        <v>71</v>
      </c>
      <c r="B1" s="34"/>
      <c r="C1" s="34"/>
      <c r="D1" s="34"/>
    </row>
    <row r="2" customFormat="false" ht="15" hidden="false" customHeight="false" outlineLevel="0" collapsed="false">
      <c r="A2" s="35" t="s">
        <v>72</v>
      </c>
      <c r="B2" s="35"/>
      <c r="C2" s="35"/>
      <c r="D2" s="35"/>
    </row>
    <row r="4" customFormat="false" ht="27.75" hidden="false" customHeight="true" outlineLevel="0" collapsed="false">
      <c r="A4" s="36" t="s">
        <v>73</v>
      </c>
      <c r="B4" s="36" t="s">
        <v>74</v>
      </c>
      <c r="C4" s="36" t="s">
        <v>75</v>
      </c>
      <c r="D4" s="36" t="s">
        <v>76</v>
      </c>
    </row>
    <row r="5" customFormat="false" ht="15" hidden="false" customHeight="false" outlineLevel="0" collapsed="false">
      <c r="A5" s="5" t="s">
        <v>77</v>
      </c>
      <c r="B5" s="37" t="n">
        <v>25</v>
      </c>
      <c r="C5" s="7" t="n">
        <f aca="false">SUMIF('Training Log'!C5:C63,1,'Training Log'!E5:E63)</f>
        <v>29.38</v>
      </c>
      <c r="D5" s="38" t="n">
        <f aca="false">C5-B5</f>
        <v>4.38</v>
      </c>
    </row>
    <row r="6" customFormat="false" ht="15" hidden="false" customHeight="false" outlineLevel="0" collapsed="false">
      <c r="A6" s="14" t="s">
        <v>78</v>
      </c>
      <c r="B6" s="39" t="n">
        <v>28</v>
      </c>
      <c r="C6" s="16" t="n">
        <f aca="false">SUMIF('Training Log'!C5:C63,2,'Training Log'!E5:E63)</f>
        <v>30.43</v>
      </c>
      <c r="D6" s="40" t="n">
        <f aca="false">C6-B6</f>
        <v>2.43</v>
      </c>
    </row>
    <row r="7" customFormat="false" ht="15" hidden="false" customHeight="false" outlineLevel="0" collapsed="false">
      <c r="A7" s="5" t="s">
        <v>79</v>
      </c>
      <c r="B7" s="37" t="n">
        <v>32</v>
      </c>
      <c r="C7" s="7" t="n">
        <f aca="false">SUMIF('Training Log'!C5:C63,3,'Training Log'!E5:E63)</f>
        <v>33.04</v>
      </c>
      <c r="D7" s="38" t="n">
        <f aca="false">C7-B7</f>
        <v>1.04</v>
      </c>
    </row>
    <row r="8" customFormat="false" ht="15" hidden="false" customHeight="false" outlineLevel="0" collapsed="false">
      <c r="A8" s="14" t="s">
        <v>80</v>
      </c>
      <c r="B8" s="39" t="n">
        <v>30</v>
      </c>
      <c r="C8" s="16" t="n">
        <f aca="false">SUMIF('Training Log'!C5:C63,4,'Training Log'!E5:E63)</f>
        <v>31.14</v>
      </c>
      <c r="D8" s="40" t="n">
        <f aca="false">C8-B8</f>
        <v>1.14</v>
      </c>
    </row>
    <row r="9" customFormat="false" ht="15" hidden="false" customHeight="false" outlineLevel="0" collapsed="false">
      <c r="A9" s="5" t="s">
        <v>81</v>
      </c>
      <c r="B9" s="37" t="n">
        <v>36</v>
      </c>
      <c r="C9" s="7" t="n">
        <f aca="false">SUMIF('Training Log'!C5:C63,5,'Training Log'!E5:E63)</f>
        <v>34.18</v>
      </c>
      <c r="D9" s="38" t="n">
        <f aca="false">C9-B9</f>
        <v>-1.82</v>
      </c>
    </row>
    <row r="10" customFormat="false" ht="15" hidden="false" customHeight="false" outlineLevel="0" collapsed="false">
      <c r="A10" s="14" t="s">
        <v>82</v>
      </c>
      <c r="B10" s="39" t="n">
        <v>40</v>
      </c>
      <c r="C10" s="16" t="n">
        <f aca="false">SUMIF('Training Log'!C5:C63,6,'Training Log'!E5:E63)</f>
        <v>36.15</v>
      </c>
      <c r="D10" s="40" t="n">
        <f aca="false">C10-B10</f>
        <v>-3.85</v>
      </c>
    </row>
    <row r="11" customFormat="false" ht="15" hidden="false" customHeight="false" outlineLevel="0" collapsed="false">
      <c r="A11" s="5" t="s">
        <v>83</v>
      </c>
      <c r="B11" s="37" t="n">
        <v>35</v>
      </c>
      <c r="C11" s="7" t="n">
        <f aca="false">SUMIF('Training Log'!C5:C63,7,'Training Log'!E5:E63)</f>
        <v>33.2</v>
      </c>
      <c r="D11" s="38" t="n">
        <f aca="false">C11-B11</f>
        <v>-1.8</v>
      </c>
    </row>
    <row r="12" customFormat="false" ht="15" hidden="false" customHeight="false" outlineLevel="0" collapsed="false">
      <c r="A12" s="14" t="s">
        <v>84</v>
      </c>
      <c r="B12" s="39" t="n">
        <v>42</v>
      </c>
      <c r="C12" s="16" t="n">
        <f aca="false">SUMIF('Training Log'!C5:C63,8,'Training Log'!E5:E63)</f>
        <v>38.02</v>
      </c>
      <c r="D12" s="40" t="n">
        <f aca="false">C12-B12</f>
        <v>-3.98</v>
      </c>
    </row>
    <row r="13" customFormat="false" ht="15" hidden="false" customHeight="false" outlineLevel="0" collapsed="false">
      <c r="A13" s="5" t="s">
        <v>85</v>
      </c>
      <c r="B13" s="37" t="n">
        <v>20</v>
      </c>
      <c r="C13" s="7" t="n">
        <f aca="false">SUMIF('Training Log'!C5:C63,9,'Training Log'!E5:E63)</f>
        <v>8.98</v>
      </c>
      <c r="D13" s="38" t="n">
        <f aca="false">C13-B13</f>
        <v>-11.02</v>
      </c>
    </row>
    <row r="14" customFormat="false" ht="15" hidden="false" customHeight="false" outlineLevel="0" collapsed="false">
      <c r="A14" s="36" t="s">
        <v>86</v>
      </c>
      <c r="B14" s="41" t="n">
        <f aca="false">SUM(B5:B13)</f>
        <v>288</v>
      </c>
      <c r="C14" s="42" t="n">
        <f aca="false">SUM(C5:C13)</f>
        <v>274.52</v>
      </c>
      <c r="D14" s="43" t="n">
        <f aca="false">C14-B14</f>
        <v>-13.48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2026-04-21T05:53:10Z</dcterms:created>
  <dc:creator>openpyxl</dc:creator>
  <dc:description/>
  <dc:language>en-US</dc:language>
  <cp:lastModifiedBy/>
  <dcterms:modified xsi:type="dcterms:W3CDTF">2026-04-21T00:53:18Z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